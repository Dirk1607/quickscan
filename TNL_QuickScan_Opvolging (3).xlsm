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rk\quickscan\"/>
    </mc:Choice>
  </mc:AlternateContent>
  <xr:revisionPtr revIDLastSave="0" documentId="8_{0AE0D070-BD06-4C12-8E87-776885D3FD37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Leads &amp; Opvolging" sheetId="1" r:id="rId1"/>
    <sheet name="Scores Detail" sheetId="2" r:id="rId2"/>
    <sheet name="Dashboard" sheetId="3" r:id="rId3"/>
    <sheet name="Mail Inlezen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3" l="1"/>
  <c r="E15" i="3"/>
  <c r="E14" i="3"/>
  <c r="B14" i="3"/>
  <c r="E13" i="3"/>
  <c r="B13" i="3"/>
  <c r="E12" i="3"/>
  <c r="B12" i="3"/>
  <c r="E11" i="3"/>
  <c r="B11" i="3"/>
  <c r="E10" i="3"/>
  <c r="B10" i="3"/>
  <c r="E9" i="3"/>
  <c r="B9" i="3"/>
  <c r="G4" i="3"/>
  <c r="E4" i="3"/>
  <c r="C4" i="3"/>
  <c r="A4" i="3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</calcChain>
</file>

<file path=xl/sharedStrings.xml><?xml version="1.0" encoding="utf-8"?>
<sst xmlns="http://schemas.openxmlformats.org/spreadsheetml/2006/main" count="136" uniqueCount="105">
  <si>
    <t>🚇 The Next Level — Metroplan Quick Scan Opvolging</t>
  </si>
  <si>
    <t>▶  Klik op de knop "📋 Nieuwe scan inlezen" om een mail te verwerken. Plak de inhoud van de ontvangen mail in het tekstvak en klik op Verwerken.</t>
  </si>
  <si>
    <t>Datum scan</t>
  </si>
  <si>
    <t>Naam</t>
  </si>
  <si>
    <t>Bedrijf</t>
  </si>
  <si>
    <t>Functie</t>
  </si>
  <si>
    <t>Sector</t>
  </si>
  <si>
    <t>Medewerkers</t>
  </si>
  <si>
    <t>Telefoon</t>
  </si>
  <si>
    <t>E-mail</t>
  </si>
  <si>
    <t>Gem. score</t>
  </si>
  <si>
    <t>Zone</t>
  </si>
  <si>
    <t>Status</t>
  </si>
  <si>
    <t>Laatste contact</t>
  </si>
  <si>
    <t>Volgende actie</t>
  </si>
  <si>
    <t>Deadline actie</t>
  </si>
  <si>
    <t>Gesprek gepland</t>
  </si>
  <si>
    <t>Notities</t>
  </si>
  <si>
    <t>Scores</t>
  </si>
  <si>
    <t>1.0–1.74</t>
  </si>
  <si>
    <t>Kritische groeipijn</t>
  </si>
  <si>
    <t>1.75–2.74</t>
  </si>
  <si>
    <t>Aandachtspunt</t>
  </si>
  <si>
    <t>2.75–3.49</t>
  </si>
  <si>
    <t>Goed ontwikkeld</t>
  </si>
  <si>
    <t>3.5–4.0</t>
  </si>
  <si>
    <t>Sterke troef</t>
  </si>
  <si>
    <t>Status waarden</t>
  </si>
  <si>
    <t>Nieuw</t>
  </si>
  <si>
    <t>Gecontacteerd</t>
  </si>
  <si>
    <t>Offerte verstuurd</t>
  </si>
  <si>
    <t>Klant</t>
  </si>
  <si>
    <t>Niet geïnteresseerd</t>
  </si>
  <si>
    <t>🚇 The Next Level — Scores per domein</t>
  </si>
  <si>
    <t>Code</t>
  </si>
  <si>
    <t>Domein</t>
  </si>
  <si>
    <t>Type</t>
  </si>
  <si>
    <t>Bedrijf 2</t>
  </si>
  <si>
    <t>Bedrijf 3</t>
  </si>
  <si>
    <t>Bedrijf 4</t>
  </si>
  <si>
    <t>Bedrijf 5</t>
  </si>
  <si>
    <t>Bedrijf 6</t>
  </si>
  <si>
    <t>Bedrijf 7</t>
  </si>
  <si>
    <t>Bedrijf 8</t>
  </si>
  <si>
    <t>Bedrijf 9</t>
  </si>
  <si>
    <t>Bedrijf 10</t>
  </si>
  <si>
    <t>Bedrijf 11</t>
  </si>
  <si>
    <t>Bedrijf 12</t>
  </si>
  <si>
    <t>Bedrijf 13</t>
  </si>
  <si>
    <t>Bedrijf 14</t>
  </si>
  <si>
    <t>Bedrijf 15</t>
  </si>
  <si>
    <t>STR</t>
  </si>
  <si>
    <t>Strategie</t>
  </si>
  <si>
    <t>Metrolijn</t>
  </si>
  <si>
    <t>PROD</t>
  </si>
  <si>
    <t>Product/Dienst</t>
  </si>
  <si>
    <t>MKT</t>
  </si>
  <si>
    <t>Marketing</t>
  </si>
  <si>
    <t>SAL</t>
  </si>
  <si>
    <t>Sales</t>
  </si>
  <si>
    <t>OPS</t>
  </si>
  <si>
    <t>Operations</t>
  </si>
  <si>
    <t>AFS</t>
  </si>
  <si>
    <t>After Sales</t>
  </si>
  <si>
    <t>HR</t>
  </si>
  <si>
    <t>FIN</t>
  </si>
  <si>
    <t>Finance</t>
  </si>
  <si>
    <t>IT</t>
  </si>
  <si>
    <t>QUA</t>
  </si>
  <si>
    <t>Kwaliteit</t>
  </si>
  <si>
    <t>SAF</t>
  </si>
  <si>
    <t>Safety</t>
  </si>
  <si>
    <t>PM</t>
  </si>
  <si>
    <t>Project Management</t>
  </si>
  <si>
    <t>Versneller</t>
  </si>
  <si>
    <t>PROC</t>
  </si>
  <si>
    <t>Proces Management</t>
  </si>
  <si>
    <t>LEAD</t>
  </si>
  <si>
    <t>Leadership</t>
  </si>
  <si>
    <t>CHG</t>
  </si>
  <si>
    <t>Change Management</t>
  </si>
  <si>
    <t>OWN</t>
  </si>
  <si>
    <t>Ownership</t>
  </si>
  <si>
    <t>Gemiddelde</t>
  </si>
  <si>
    <t>← Bedrijfsnamen worden automatisch ingevuld bij parse</t>
  </si>
  <si>
    <t>🚇 The Next Level — Dashboard</t>
  </si>
  <si>
    <t>Totaal scans</t>
  </si>
  <si>
    <t>Gesprekken gepland</t>
  </si>
  <si>
    <t>Klanten</t>
  </si>
  <si>
    <t>Aantal</t>
  </si>
  <si>
    <t>Productie / Industrie</t>
  </si>
  <si>
    <t>Bouw / Technische diensten</t>
  </si>
  <si>
    <t>Groothandel / Distributie</t>
  </si>
  <si>
    <t>Retail / Detailhandel</t>
  </si>
  <si>
    <t>Consultancy / Advies</t>
  </si>
  <si>
    <t>IT / Software</t>
  </si>
  <si>
    <t>Transport / Logistiek</t>
  </si>
  <si>
    <t>Andere</t>
  </si>
  <si>
    <t>📋 Mail Inlezen — Plak hier de ontvangen mail en klik op Verwerken</t>
  </si>
  <si>
    <t>Stap 1: Kopieer de volledige inhoud van de mail  →  Stap 2: Plak in cel A3 hieronder  →  Stap 3: Klik op de knop "Verwerken"</t>
  </si>
  <si>
    <t>Frank Debie</t>
  </si>
  <si>
    <t>Altior</t>
  </si>
  <si>
    <t>Zaakvoerder</t>
  </si>
  <si>
    <t>Facility / Schoonmaak</t>
  </si>
  <si>
    <t>11–25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</si>
</sst>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"/>
  </numFmts>
  <fonts count="22" x14ac:knownFonts="1">
    <font>
      <sz val="11"/>
      <color theme="1"/>
      <name val="Calibri"/>
      <family val="2"/>
      <scheme val="minor"/>
    </font>
    <font>
      <b/>
      <sz val="13"/>
      <color rgb="FFFFFFFF"/>
      <name val="Arial"/>
      <family val="2"/>
    </font>
    <font>
      <i/>
      <sz val="9"/>
      <color rgb="FF1A2E4A"/>
      <name val="Arial"/>
      <family val="2"/>
    </font>
    <font>
      <b/>
      <sz val="9"/>
      <color rgb="FFFFFFFF"/>
      <name val="Arial"/>
      <family val="2"/>
    </font>
    <font>
      <sz val="9"/>
      <color rgb="FF1E293B"/>
      <name val="Arial"/>
      <family val="2"/>
    </font>
    <font>
      <b/>
      <sz val="9"/>
      <color rgb="FFAA0000"/>
      <name val="Arial"/>
      <family val="2"/>
    </font>
    <font>
      <sz val="9"/>
      <color rgb="FFAA0000"/>
      <name val="Arial"/>
      <family val="2"/>
    </font>
    <font>
      <b/>
      <sz val="9"/>
      <color rgb="FF8C3A00"/>
      <name val="Arial"/>
      <family val="2"/>
    </font>
    <font>
      <sz val="9"/>
      <color rgb="FF8C3A00"/>
      <name val="Arial"/>
      <family val="2"/>
    </font>
    <font>
      <b/>
      <sz val="9"/>
      <color rgb="FF003E99"/>
      <name val="Arial"/>
      <family val="2"/>
    </font>
    <font>
      <sz val="9"/>
      <color rgb="FF003E99"/>
      <name val="Arial"/>
      <family val="2"/>
    </font>
    <font>
      <b/>
      <sz val="9"/>
      <color rgb="FF006B2B"/>
      <name val="Arial"/>
      <family val="2"/>
    </font>
    <font>
      <sz val="9"/>
      <color rgb="FF006B2B"/>
      <name val="Arial"/>
      <family val="2"/>
    </font>
    <font>
      <sz val="9"/>
      <name val="Arial"/>
      <family val="2"/>
    </font>
    <font>
      <b/>
      <sz val="9"/>
      <color rgb="FF1E293B"/>
      <name val="Arial"/>
      <family val="2"/>
    </font>
    <font>
      <b/>
      <sz val="9"/>
      <name val="Arial"/>
      <family val="2"/>
    </font>
    <font>
      <i/>
      <sz val="9"/>
      <color rgb="FF64748B"/>
      <name val="Arial"/>
      <family val="2"/>
    </font>
    <font>
      <i/>
      <sz val="8"/>
      <color rgb="FF94A3B8"/>
      <name val="Arial"/>
      <family val="2"/>
    </font>
    <font>
      <b/>
      <sz val="10"/>
      <color rgb="FFFFFFFF"/>
      <name val="Arial"/>
      <family val="2"/>
    </font>
    <font>
      <b/>
      <sz val="22"/>
      <color rgb="FF1A2E4A"/>
      <name val="Arial"/>
      <family val="2"/>
    </font>
    <font>
      <b/>
      <sz val="12"/>
      <color rgb="FFFFFFFF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1A2E4A"/>
      </patternFill>
    </fill>
    <fill>
      <patternFill patternType="solid">
        <fgColor rgb="FFEEF4FF"/>
      </patternFill>
    </fill>
    <fill>
      <patternFill patternType="solid">
        <fgColor rgb="FF2E5FA3"/>
      </patternFill>
    </fill>
    <fill>
      <patternFill patternType="solid">
        <fgColor rgb="FFF8FAFC"/>
      </patternFill>
    </fill>
    <fill>
      <patternFill patternType="solid">
        <fgColor rgb="FFFFFFFF"/>
      </patternFill>
    </fill>
    <fill>
      <patternFill patternType="solid">
        <fgColor rgb="FFFFCCCC"/>
      </patternFill>
    </fill>
    <fill>
      <patternFill patternType="solid">
        <fgColor rgb="FFFFE8CC"/>
      </patternFill>
    </fill>
    <fill>
      <patternFill patternType="solid">
        <fgColor rgb="FFD6EEFF"/>
      </patternFill>
    </fill>
    <fill>
      <patternFill patternType="solid">
        <fgColor rgb="FFD4F7E0"/>
      </patternFill>
    </fill>
    <fill>
      <patternFill patternType="solid">
        <fgColor rgb="FFD6E4F7"/>
      </patternFill>
    </fill>
    <fill>
      <patternFill patternType="solid">
        <fgColor rgb="FFFAFAFA"/>
      </patternFill>
    </fill>
    <fill>
      <patternFill patternType="solid">
        <fgColor rgb="FFF0F4F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3" borderId="0" xfId="0" applyFont="1" applyFill="1" applyAlignment="1">
      <alignment horizontal="left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164" fontId="4" fillId="5" borderId="1" xfId="0" applyNumberFormat="1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5" fontId="4" fillId="5" borderId="1" xfId="0" applyNumberFormat="1" applyFont="1" applyFill="1" applyBorder="1" applyAlignment="1">
      <alignment horizontal="left" vertical="center"/>
    </xf>
    <xf numFmtId="0" fontId="5" fillId="7" borderId="0" xfId="0" applyFont="1" applyFill="1" applyAlignment="1">
      <alignment horizontal="center"/>
    </xf>
    <xf numFmtId="0" fontId="6" fillId="7" borderId="0" xfId="0" applyFont="1" applyFill="1"/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165" fontId="4" fillId="6" borderId="1" xfId="0" applyNumberFormat="1" applyFont="1" applyFill="1" applyBorder="1" applyAlignment="1">
      <alignment horizontal="left" vertical="center"/>
    </xf>
    <xf numFmtId="0" fontId="7" fillId="8" borderId="0" xfId="0" applyFont="1" applyFill="1" applyAlignment="1">
      <alignment horizontal="center"/>
    </xf>
    <xf numFmtId="0" fontId="8" fillId="8" borderId="0" xfId="0" applyFont="1" applyFill="1"/>
    <xf numFmtId="0" fontId="9" fillId="9" borderId="0" xfId="0" applyFont="1" applyFill="1" applyAlignment="1">
      <alignment horizontal="center"/>
    </xf>
    <xf numFmtId="0" fontId="10" fillId="9" borderId="0" xfId="0" applyFont="1" applyFill="1"/>
    <xf numFmtId="0" fontId="11" fillId="10" borderId="0" xfId="0" applyFont="1" applyFill="1" applyAlignment="1">
      <alignment horizontal="center"/>
    </xf>
    <xf numFmtId="0" fontId="12" fillId="10" borderId="0" xfId="0" applyFont="1" applyFill="1"/>
    <xf numFmtId="0" fontId="13" fillId="0" borderId="0" xfId="0" applyFont="1"/>
    <xf numFmtId="0" fontId="3" fillId="4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center" vertical="center"/>
    </xf>
    <xf numFmtId="165" fontId="4" fillId="12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165" fontId="15" fillId="11" borderId="1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3" fillId="5" borderId="0" xfId="0" applyFont="1" applyFill="1"/>
    <xf numFmtId="0" fontId="20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7" fillId="0" borderId="0" xfId="0" applyFont="1"/>
    <xf numFmtId="0" fontId="19" fillId="13" borderId="0" xfId="0" applyFont="1" applyFill="1" applyAlignment="1">
      <alignment horizontal="center" vertical="center"/>
    </xf>
    <xf numFmtId="165" fontId="19" fillId="13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</cellXfs>
  <cellStyles count="1">
    <cellStyle name="Standaard" xfId="0" builtinId="0"/>
  </cellStyles>
  <dxfs count="8">
    <dxf>
      <fill>
        <patternFill patternType="solid">
          <fgColor rgb="FFD4F7E0"/>
        </patternFill>
      </fill>
    </dxf>
    <dxf>
      <fill>
        <patternFill patternType="solid">
          <fgColor rgb="FFD6EEFF"/>
        </patternFill>
      </fill>
    </dxf>
    <dxf>
      <fill>
        <patternFill patternType="solid">
          <fgColor rgb="FFFFE8CC"/>
        </patternFill>
      </fill>
    </dxf>
    <dxf>
      <fill>
        <patternFill patternType="solid">
          <fgColor rgb="FFFFCCCC"/>
        </patternFill>
      </fill>
    </dxf>
    <dxf>
      <fill>
        <patternFill patternType="solid">
          <fgColor rgb="FFD4F7E0"/>
        </patternFill>
      </fill>
    </dxf>
    <dxf>
      <fill>
        <patternFill patternType="solid">
          <fgColor rgb="FFD6EEFF"/>
        </patternFill>
      </fill>
    </dxf>
    <dxf>
      <fill>
        <patternFill patternType="solid">
          <fgColor rgb="FFFFE8CC"/>
        </patternFill>
      </fill>
    </dxf>
    <dxf>
      <fill>
        <patternFill patternType="solid">
          <fgColor rgb="FFFFCC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1146024</xdr:colOff>
      <xdr:row>5</xdr:row>
      <xdr:rowOff>188989</xdr:rowOff>
    </xdr:from>
    <xdr:to>
      <xdr:col>0</xdr:col>
      <xdr:colOff>2849940</xdr:colOff>
      <xdr:row>8</xdr:row>
      <xdr:rowOff>69547</xdr:rowOff>
    </xdr:to>
    <xdr:sp macro="[0]!ParseMail" textlink="">
      <xdr:nvSpPr>
        <xdr:cNvPr id="2" name="Rechthoek 1">
          <a:extLst>
            <a:ext uri="{FF2B5EF4-FFF2-40B4-BE49-F238E27FC236}">
              <a16:creationId xmlns:a16="http://schemas.microsoft.com/office/drawing/2014/main" id="{FD0B024A-4E50-4A70-A72E-AA2FF572D537}"/>
            </a:ext>
          </a:extLst>
        </xdr:cNvPr>
        <xdr:cNvSpPr/>
      </xdr:nvSpPr>
      <xdr:spPr>
        <a:xfrm>
          <a:off x="1146024" y="4897060"/>
          <a:ext cx="1703916" cy="56091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S23"/>
  <sheetViews>
    <sheetView tabSelected="1" zoomScale="90"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12" customWidth="1"/>
    <col min="2" max="2" width="18" customWidth="1"/>
    <col min="3" max="3" width="22" customWidth="1"/>
    <col min="4" max="4" width="16" customWidth="1"/>
    <col min="5" max="5" width="20" customWidth="1"/>
    <col min="6" max="6" width="12" customWidth="1"/>
    <col min="7" max="7" width="14" customWidth="1"/>
    <col min="8" max="8" width="24" customWidth="1"/>
    <col min="9" max="9" width="10" customWidth="1"/>
    <col min="10" max="10" width="14" customWidth="1"/>
    <col min="11" max="11" width="16" customWidth="1"/>
    <col min="12" max="12" width="14" customWidth="1"/>
    <col min="13" max="13" width="22" customWidth="1"/>
    <col min="14" max="15" width="14" customWidth="1"/>
    <col min="16" max="16" width="30" customWidth="1"/>
    <col min="18" max="18" width="14" customWidth="1"/>
    <col min="19" max="19" width="18" customWidth="1"/>
  </cols>
  <sheetData>
    <row r="1" spans="1:19" ht="27.95" customHeight="1" x14ac:dyDescent="0.25">
      <c r="A1" s="34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9" ht="20.100000000000001" customHeight="1" x14ac:dyDescent="0.25">
      <c r="A2" s="32" t="s">
        <v>1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3" spans="1:19" ht="32.1" customHeight="1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  <c r="M3" s="2" t="s">
        <v>14</v>
      </c>
      <c r="N3" s="2" t="s">
        <v>15</v>
      </c>
      <c r="O3" s="2" t="s">
        <v>16</v>
      </c>
      <c r="P3" s="2" t="s">
        <v>17</v>
      </c>
      <c r="R3" s="3" t="s">
        <v>18</v>
      </c>
      <c r="S3" s="3" t="s">
        <v>11</v>
      </c>
    </row>
    <row r="4" spans="1:19" ht="18" customHeight="1" x14ac:dyDescent="0.25">
      <c r="A4" s="4">
        <v>46183</v>
      </c>
      <c r="B4" s="5" t="s">
        <v>100</v>
      </c>
      <c r="C4" s="5" t="s">
        <v>101</v>
      </c>
      <c r="D4" s="5" t="s">
        <v>102</v>
      </c>
      <c r="E4" s="5" t="s">
        <v>103</v>
      </c>
      <c r="F4" s="5" t="s">
        <v>104</v>
      </c>
      <c r="G4" s="5">
        <v>32</v>
      </c>
      <c r="H4" s="5"/>
      <c r="I4" s="6">
        <v>24</v>
      </c>
      <c r="J4" s="5" t="s">
        <v>26</v>
      </c>
      <c r="K4" s="5" t="s">
        <v>28</v>
      </c>
      <c r="L4" s="5"/>
      <c r="M4" s="5"/>
      <c r="N4" s="4"/>
      <c r="O4" s="5"/>
      <c r="P4" s="5"/>
      <c r="R4" s="7" t="s">
        <v>19</v>
      </c>
      <c r="S4" s="8" t="s">
        <v>20</v>
      </c>
    </row>
    <row r="5" spans="1:19" ht="18" customHeight="1" x14ac:dyDescent="0.25">
      <c r="A5" s="9"/>
      <c r="B5" s="10"/>
      <c r="C5" s="10"/>
      <c r="D5" s="10"/>
      <c r="E5" s="10"/>
      <c r="F5" s="10"/>
      <c r="G5" s="10"/>
      <c r="H5" s="10"/>
      <c r="I5" s="11"/>
      <c r="J5" s="10"/>
      <c r="K5" s="10"/>
      <c r="L5" s="10"/>
      <c r="M5" s="10"/>
      <c r="N5" s="9"/>
      <c r="O5" s="10"/>
      <c r="P5" s="10"/>
      <c r="R5" s="12" t="s">
        <v>21</v>
      </c>
      <c r="S5" s="13" t="s">
        <v>22</v>
      </c>
    </row>
    <row r="6" spans="1:19" ht="18" customHeight="1" x14ac:dyDescent="0.25">
      <c r="A6" s="4"/>
      <c r="B6" s="5"/>
      <c r="C6" s="5"/>
      <c r="D6" s="5"/>
      <c r="E6" s="5"/>
      <c r="F6" s="5"/>
      <c r="G6" s="5"/>
      <c r="H6" s="5"/>
      <c r="I6" s="6"/>
      <c r="J6" s="5"/>
      <c r="K6" s="5"/>
      <c r="L6" s="5"/>
      <c r="M6" s="5"/>
      <c r="N6" s="4"/>
      <c r="O6" s="5"/>
      <c r="P6" s="5"/>
      <c r="R6" s="14" t="s">
        <v>23</v>
      </c>
      <c r="S6" s="15" t="s">
        <v>24</v>
      </c>
    </row>
    <row r="7" spans="1:19" ht="18" customHeight="1" x14ac:dyDescent="0.25">
      <c r="A7" s="9"/>
      <c r="B7" s="10"/>
      <c r="C7" s="10"/>
      <c r="D7" s="10"/>
      <c r="E7" s="10"/>
      <c r="F7" s="10"/>
      <c r="G7" s="10"/>
      <c r="H7" s="10"/>
      <c r="I7" s="11"/>
      <c r="J7" s="10"/>
      <c r="K7" s="10"/>
      <c r="L7" s="10"/>
      <c r="M7" s="10"/>
      <c r="N7" s="9"/>
      <c r="O7" s="10"/>
      <c r="P7" s="10"/>
      <c r="R7" s="16" t="s">
        <v>25</v>
      </c>
      <c r="S7" s="17" t="s">
        <v>26</v>
      </c>
    </row>
    <row r="8" spans="1:19" ht="18" customHeight="1" x14ac:dyDescent="0.25">
      <c r="A8" s="4"/>
      <c r="B8" s="5"/>
      <c r="C8" s="5"/>
      <c r="D8" s="5"/>
      <c r="E8" s="5"/>
      <c r="F8" s="5"/>
      <c r="G8" s="5"/>
      <c r="H8" s="5"/>
      <c r="I8" s="6"/>
      <c r="J8" s="5"/>
      <c r="K8" s="5"/>
      <c r="L8" s="5"/>
      <c r="M8" s="5"/>
      <c r="N8" s="4"/>
      <c r="O8" s="5"/>
      <c r="P8" s="5"/>
    </row>
    <row r="9" spans="1:19" ht="18" customHeight="1" x14ac:dyDescent="0.25">
      <c r="A9" s="9"/>
      <c r="B9" s="10"/>
      <c r="C9" s="10"/>
      <c r="D9" s="10"/>
      <c r="E9" s="10"/>
      <c r="F9" s="10"/>
      <c r="G9" s="10"/>
      <c r="H9" s="10"/>
      <c r="I9" s="11"/>
      <c r="J9" s="10"/>
      <c r="K9" s="10"/>
      <c r="L9" s="10"/>
      <c r="M9" s="10"/>
      <c r="N9" s="9"/>
      <c r="O9" s="10"/>
      <c r="P9" s="10"/>
      <c r="R9" s="3" t="s">
        <v>27</v>
      </c>
    </row>
    <row r="10" spans="1:19" ht="18" customHeight="1" x14ac:dyDescent="0.25">
      <c r="A10" s="4"/>
      <c r="B10" s="5"/>
      <c r="C10" s="5"/>
      <c r="D10" s="5"/>
      <c r="E10" s="5"/>
      <c r="F10" s="5"/>
      <c r="G10" s="5"/>
      <c r="H10" s="5"/>
      <c r="I10" s="6"/>
      <c r="J10" s="5"/>
      <c r="K10" s="5"/>
      <c r="L10" s="5"/>
      <c r="M10" s="5"/>
      <c r="N10" s="4"/>
      <c r="O10" s="5"/>
      <c r="P10" s="5"/>
      <c r="R10" s="18" t="s">
        <v>28</v>
      </c>
    </row>
    <row r="11" spans="1:19" ht="18" customHeight="1" x14ac:dyDescent="0.25">
      <c r="A11" s="9"/>
      <c r="B11" s="10"/>
      <c r="C11" s="10"/>
      <c r="D11" s="10"/>
      <c r="E11" s="10"/>
      <c r="F11" s="10"/>
      <c r="G11" s="10"/>
      <c r="H11" s="10"/>
      <c r="I11" s="11"/>
      <c r="J11" s="10"/>
      <c r="K11" s="10"/>
      <c r="L11" s="10"/>
      <c r="M11" s="10"/>
      <c r="N11" s="9"/>
      <c r="O11" s="10"/>
      <c r="P11" s="10"/>
      <c r="R11" s="18" t="s">
        <v>29</v>
      </c>
    </row>
    <row r="12" spans="1:19" ht="18" customHeight="1" x14ac:dyDescent="0.25">
      <c r="A12" s="4"/>
      <c r="B12" s="5"/>
      <c r="C12" s="5"/>
      <c r="D12" s="5"/>
      <c r="E12" s="5"/>
      <c r="F12" s="5"/>
      <c r="G12" s="5"/>
      <c r="H12" s="5"/>
      <c r="I12" s="6"/>
      <c r="J12" s="5"/>
      <c r="K12" s="5"/>
      <c r="L12" s="5"/>
      <c r="M12" s="5"/>
      <c r="N12" s="4"/>
      <c r="O12" s="5"/>
      <c r="P12" s="5"/>
      <c r="R12" s="18" t="s">
        <v>16</v>
      </c>
    </row>
    <row r="13" spans="1:19" ht="18" customHeight="1" x14ac:dyDescent="0.25">
      <c r="A13" s="9"/>
      <c r="B13" s="10"/>
      <c r="C13" s="10"/>
      <c r="D13" s="10"/>
      <c r="E13" s="10"/>
      <c r="F13" s="10"/>
      <c r="G13" s="10"/>
      <c r="H13" s="10"/>
      <c r="I13" s="11"/>
      <c r="J13" s="10"/>
      <c r="K13" s="10"/>
      <c r="L13" s="10"/>
      <c r="M13" s="10"/>
      <c r="N13" s="9"/>
      <c r="O13" s="10"/>
      <c r="P13" s="10"/>
      <c r="R13" s="18" t="s">
        <v>30</v>
      </c>
    </row>
    <row r="14" spans="1:19" ht="18" customHeight="1" x14ac:dyDescent="0.25">
      <c r="A14" s="4"/>
      <c r="B14" s="5"/>
      <c r="C14" s="5"/>
      <c r="D14" s="5"/>
      <c r="E14" s="5"/>
      <c r="F14" s="5"/>
      <c r="G14" s="5"/>
      <c r="H14" s="5"/>
      <c r="I14" s="6"/>
      <c r="J14" s="5"/>
      <c r="K14" s="5"/>
      <c r="L14" s="5"/>
      <c r="M14" s="5"/>
      <c r="N14" s="4"/>
      <c r="O14" s="5"/>
      <c r="P14" s="5"/>
      <c r="R14" s="18" t="s">
        <v>31</v>
      </c>
    </row>
    <row r="15" spans="1:19" ht="18" customHeight="1" x14ac:dyDescent="0.25">
      <c r="A15" s="9"/>
      <c r="B15" s="10"/>
      <c r="C15" s="10"/>
      <c r="D15" s="10"/>
      <c r="E15" s="10"/>
      <c r="F15" s="10"/>
      <c r="G15" s="10"/>
      <c r="H15" s="10"/>
      <c r="I15" s="11"/>
      <c r="J15" s="10"/>
      <c r="K15" s="10"/>
      <c r="L15" s="10"/>
      <c r="M15" s="10"/>
      <c r="N15" s="9"/>
      <c r="O15" s="10"/>
      <c r="P15" s="10"/>
      <c r="R15" s="18" t="s">
        <v>32</v>
      </c>
    </row>
    <row r="16" spans="1:19" ht="18" customHeight="1" x14ac:dyDescent="0.25">
      <c r="A16" s="4"/>
      <c r="B16" s="5"/>
      <c r="C16" s="5"/>
      <c r="D16" s="5"/>
      <c r="E16" s="5"/>
      <c r="F16" s="5"/>
      <c r="G16" s="5"/>
      <c r="H16" s="5"/>
      <c r="I16" s="6"/>
      <c r="J16" s="5"/>
      <c r="K16" s="5"/>
      <c r="L16" s="5"/>
      <c r="M16" s="5"/>
      <c r="N16" s="4"/>
      <c r="O16" s="5"/>
      <c r="P16" s="5"/>
    </row>
    <row r="17" spans="1:16" ht="18" customHeight="1" x14ac:dyDescent="0.25">
      <c r="A17" s="9"/>
      <c r="B17" s="10"/>
      <c r="C17" s="10"/>
      <c r="D17" s="10"/>
      <c r="E17" s="10"/>
      <c r="F17" s="10"/>
      <c r="G17" s="10"/>
      <c r="H17" s="10"/>
      <c r="I17" s="11"/>
      <c r="J17" s="10"/>
      <c r="K17" s="10"/>
      <c r="L17" s="10"/>
      <c r="M17" s="10"/>
      <c r="N17" s="9"/>
      <c r="O17" s="10"/>
      <c r="P17" s="10"/>
    </row>
    <row r="18" spans="1:16" ht="18" customHeight="1" x14ac:dyDescent="0.25">
      <c r="A18" s="4"/>
      <c r="B18" s="5"/>
      <c r="C18" s="5"/>
      <c r="D18" s="5"/>
      <c r="E18" s="5"/>
      <c r="F18" s="5"/>
      <c r="G18" s="5"/>
      <c r="H18" s="5"/>
      <c r="I18" s="6"/>
      <c r="J18" s="5"/>
      <c r="K18" s="5"/>
      <c r="L18" s="5"/>
      <c r="M18" s="5"/>
      <c r="N18" s="4"/>
      <c r="O18" s="5"/>
      <c r="P18" s="5"/>
    </row>
    <row r="19" spans="1:16" ht="18" customHeight="1" x14ac:dyDescent="0.25">
      <c r="A19" s="9"/>
      <c r="B19" s="10"/>
      <c r="C19" s="10"/>
      <c r="D19" s="10"/>
      <c r="E19" s="10"/>
      <c r="F19" s="10"/>
      <c r="G19" s="10"/>
      <c r="H19" s="10"/>
      <c r="I19" s="11"/>
      <c r="J19" s="10"/>
      <c r="K19" s="10"/>
      <c r="L19" s="10"/>
      <c r="M19" s="10"/>
      <c r="N19" s="9"/>
      <c r="O19" s="10"/>
      <c r="P19" s="10"/>
    </row>
    <row r="20" spans="1:16" ht="18" customHeight="1" x14ac:dyDescent="0.25">
      <c r="A20" s="4"/>
      <c r="B20" s="5"/>
      <c r="C20" s="5"/>
      <c r="D20" s="5"/>
      <c r="E20" s="5"/>
      <c r="F20" s="5"/>
      <c r="G20" s="5"/>
      <c r="H20" s="5"/>
      <c r="I20" s="6"/>
      <c r="J20" s="5"/>
      <c r="K20" s="5"/>
      <c r="L20" s="5"/>
      <c r="M20" s="5"/>
      <c r="N20" s="4"/>
      <c r="O20" s="5"/>
      <c r="P20" s="5"/>
    </row>
    <row r="21" spans="1:16" ht="18" customHeight="1" x14ac:dyDescent="0.25">
      <c r="A21" s="9"/>
      <c r="B21" s="10"/>
      <c r="C21" s="10"/>
      <c r="D21" s="10"/>
      <c r="E21" s="10"/>
      <c r="F21" s="10"/>
      <c r="G21" s="10"/>
      <c r="H21" s="10"/>
      <c r="I21" s="11"/>
      <c r="J21" s="10"/>
      <c r="K21" s="10"/>
      <c r="L21" s="10"/>
      <c r="M21" s="10"/>
      <c r="N21" s="9"/>
      <c r="O21" s="10"/>
      <c r="P21" s="10"/>
    </row>
    <row r="22" spans="1:16" ht="18" customHeight="1" x14ac:dyDescent="0.25">
      <c r="A22" s="4"/>
      <c r="B22" s="5"/>
      <c r="C22" s="5"/>
      <c r="D22" s="5"/>
      <c r="E22" s="5"/>
      <c r="F22" s="5"/>
      <c r="G22" s="5"/>
      <c r="H22" s="5"/>
      <c r="I22" s="6"/>
      <c r="J22" s="5"/>
      <c r="K22" s="5"/>
      <c r="L22" s="5"/>
      <c r="M22" s="5"/>
      <c r="N22" s="4"/>
      <c r="O22" s="5"/>
      <c r="P22" s="5"/>
    </row>
    <row r="23" spans="1:16" ht="18" customHeight="1" x14ac:dyDescent="0.25">
      <c r="A23" s="9"/>
      <c r="B23" s="10"/>
      <c r="C23" s="10"/>
      <c r="D23" s="10"/>
      <c r="E23" s="10"/>
      <c r="F23" s="10"/>
      <c r="G23" s="10"/>
      <c r="H23" s="10"/>
      <c r="I23" s="11"/>
      <c r="J23" s="10"/>
      <c r="K23" s="10"/>
      <c r="L23" s="10"/>
      <c r="M23" s="10"/>
      <c r="N23" s="9"/>
      <c r="O23" s="10"/>
      <c r="P23" s="10"/>
    </row>
  </sheetData>
  <mergeCells count="2">
    <mergeCell ref="A2:R2"/>
    <mergeCell ref="A1:R1"/>
  </mergeCells>
  <conditionalFormatting sqref="I4:I23">
    <cfRule type="cellIs" dxfId="7" priority="1" operator="between">
      <formula>1</formula>
      <formula>1.74</formula>
    </cfRule>
    <cfRule type="cellIs" dxfId="6" priority="2" operator="between">
      <formula>1.75</formula>
      <formula>2.74</formula>
    </cfRule>
    <cfRule type="cellIs" dxfId="5" priority="3" operator="between">
      <formula>2.75</formula>
      <formula>3.49</formula>
    </cfRule>
    <cfRule type="cellIs" dxfId="4" priority="4" operator="greaterThanOrEqual">
      <formula>3.5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S21"/>
  <sheetViews>
    <sheetView zoomScale="90" workbookViewId="0">
      <pane xSplit="3" ySplit="2" topLeftCell="D3" activePane="bottomRight" state="frozen"/>
      <selection pane="topRight"/>
      <selection pane="bottomLeft"/>
      <selection pane="bottomRight" activeCell="F28" sqref="F28"/>
    </sheetView>
  </sheetViews>
  <sheetFormatPr defaultRowHeight="15" x14ac:dyDescent="0.25"/>
  <cols>
    <col min="1" max="1" width="8" customWidth="1"/>
    <col min="2" max="2" width="22" customWidth="1"/>
    <col min="3" max="3" width="14" customWidth="1"/>
    <col min="4" max="18" width="13" customWidth="1"/>
  </cols>
  <sheetData>
    <row r="1" spans="1:19" ht="27.95" customHeight="1" x14ac:dyDescent="0.25">
      <c r="A1" s="34" t="s">
        <v>33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19" ht="21.95" customHeight="1" x14ac:dyDescent="0.25">
      <c r="A2" s="19" t="s">
        <v>34</v>
      </c>
      <c r="B2" s="19" t="s">
        <v>35</v>
      </c>
      <c r="C2" s="19" t="s">
        <v>36</v>
      </c>
      <c r="D2" s="19" t="s">
        <v>101</v>
      </c>
      <c r="E2" s="19" t="s">
        <v>37</v>
      </c>
      <c r="F2" s="19" t="s">
        <v>38</v>
      </c>
      <c r="G2" s="19" t="s">
        <v>39</v>
      </c>
      <c r="H2" s="19" t="s">
        <v>40</v>
      </c>
      <c r="I2" s="19" t="s">
        <v>41</v>
      </c>
      <c r="J2" s="19" t="s">
        <v>42</v>
      </c>
      <c r="K2" s="19" t="s">
        <v>43</v>
      </c>
      <c r="L2" s="19" t="s">
        <v>44</v>
      </c>
      <c r="M2" s="19" t="s">
        <v>45</v>
      </c>
      <c r="N2" s="19" t="s">
        <v>46</v>
      </c>
      <c r="O2" s="19" t="s">
        <v>47</v>
      </c>
      <c r="P2" s="19" t="s">
        <v>48</v>
      </c>
      <c r="Q2" s="19" t="s">
        <v>49</v>
      </c>
      <c r="R2" s="19" t="s">
        <v>50</v>
      </c>
    </row>
    <row r="3" spans="1:19" ht="18" customHeight="1" x14ac:dyDescent="0.25">
      <c r="A3" s="20" t="s">
        <v>51</v>
      </c>
      <c r="B3" s="21" t="s">
        <v>52</v>
      </c>
      <c r="C3" s="22" t="s">
        <v>53</v>
      </c>
      <c r="D3" s="23">
        <v>26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1:19" ht="18" customHeight="1" x14ac:dyDescent="0.25">
      <c r="A4" s="20" t="s">
        <v>54</v>
      </c>
      <c r="B4" s="21" t="s">
        <v>55</v>
      </c>
      <c r="C4" s="22" t="s">
        <v>53</v>
      </c>
      <c r="D4" s="23">
        <v>4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1:19" ht="18" customHeight="1" x14ac:dyDescent="0.25">
      <c r="A5" s="20" t="s">
        <v>56</v>
      </c>
      <c r="B5" s="21" t="s">
        <v>57</v>
      </c>
      <c r="C5" s="22" t="s">
        <v>53</v>
      </c>
      <c r="D5" s="23">
        <v>3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</row>
    <row r="6" spans="1:19" ht="18" customHeight="1" x14ac:dyDescent="0.25">
      <c r="A6" s="20" t="s">
        <v>58</v>
      </c>
      <c r="B6" s="21" t="s">
        <v>59</v>
      </c>
      <c r="C6" s="22" t="s">
        <v>53</v>
      </c>
      <c r="D6" s="23">
        <v>28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1:19" ht="18" customHeight="1" x14ac:dyDescent="0.25">
      <c r="A7" s="20" t="s">
        <v>60</v>
      </c>
      <c r="B7" s="21" t="s">
        <v>61</v>
      </c>
      <c r="C7" s="22" t="s">
        <v>53</v>
      </c>
      <c r="D7" s="23">
        <v>25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1:19" ht="18" customHeight="1" x14ac:dyDescent="0.25">
      <c r="A8" s="20" t="s">
        <v>62</v>
      </c>
      <c r="B8" s="21" t="s">
        <v>63</v>
      </c>
      <c r="C8" s="22" t="s">
        <v>53</v>
      </c>
      <c r="D8" s="23">
        <v>1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1:19" ht="18" customHeight="1" x14ac:dyDescent="0.25">
      <c r="A9" s="20" t="s">
        <v>64</v>
      </c>
      <c r="B9" s="21" t="s">
        <v>64</v>
      </c>
      <c r="C9" s="22" t="s">
        <v>53</v>
      </c>
      <c r="D9" s="23">
        <v>25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1:19" ht="18" customHeight="1" x14ac:dyDescent="0.25">
      <c r="A10" s="20" t="s">
        <v>65</v>
      </c>
      <c r="B10" s="21" t="s">
        <v>66</v>
      </c>
      <c r="C10" s="22" t="s">
        <v>53</v>
      </c>
      <c r="D10" s="23">
        <v>21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1:19" ht="18" customHeight="1" x14ac:dyDescent="0.25">
      <c r="A11" s="20" t="s">
        <v>67</v>
      </c>
      <c r="B11" s="21" t="s">
        <v>67</v>
      </c>
      <c r="C11" s="22" t="s">
        <v>53</v>
      </c>
      <c r="D11" s="23">
        <v>24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</row>
    <row r="12" spans="1:19" ht="18" customHeight="1" x14ac:dyDescent="0.25">
      <c r="A12" s="20" t="s">
        <v>68</v>
      </c>
      <c r="B12" s="21" t="s">
        <v>69</v>
      </c>
      <c r="C12" s="22" t="s">
        <v>53</v>
      </c>
      <c r="D12" s="23">
        <v>17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</row>
    <row r="13" spans="1:19" ht="18" customHeight="1" x14ac:dyDescent="0.25">
      <c r="A13" s="20" t="s">
        <v>70</v>
      </c>
      <c r="B13" s="21" t="s">
        <v>71</v>
      </c>
      <c r="C13" s="22" t="s">
        <v>53</v>
      </c>
      <c r="D13" s="23">
        <v>15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</row>
    <row r="14" spans="1:19" ht="18" customHeight="1" x14ac:dyDescent="0.25">
      <c r="A14" s="24" t="s">
        <v>72</v>
      </c>
      <c r="B14" s="25" t="s">
        <v>73</v>
      </c>
      <c r="C14" s="26" t="s">
        <v>74</v>
      </c>
      <c r="D14" s="23">
        <v>32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</row>
    <row r="15" spans="1:19" ht="18" customHeight="1" x14ac:dyDescent="0.25">
      <c r="A15" s="24" t="s">
        <v>75</v>
      </c>
      <c r="B15" s="25" t="s">
        <v>76</v>
      </c>
      <c r="C15" s="26" t="s">
        <v>74</v>
      </c>
      <c r="D15" s="23">
        <v>25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</row>
    <row r="16" spans="1:19" ht="18" customHeight="1" x14ac:dyDescent="0.25">
      <c r="A16" s="24" t="s">
        <v>77</v>
      </c>
      <c r="B16" s="25" t="s">
        <v>78</v>
      </c>
      <c r="C16" s="26" t="s">
        <v>74</v>
      </c>
      <c r="D16" s="23">
        <v>23</v>
      </c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1:18" ht="18" customHeight="1" x14ac:dyDescent="0.25">
      <c r="A17" s="24" t="s">
        <v>79</v>
      </c>
      <c r="B17" s="25" t="s">
        <v>80</v>
      </c>
      <c r="C17" s="26" t="s">
        <v>74</v>
      </c>
      <c r="D17" s="23">
        <v>23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1:18" ht="18" customHeight="1" x14ac:dyDescent="0.25">
      <c r="A18" s="24" t="s">
        <v>81</v>
      </c>
      <c r="B18" s="25" t="s">
        <v>82</v>
      </c>
      <c r="C18" s="26" t="s">
        <v>74</v>
      </c>
      <c r="D18" s="23">
        <v>27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</row>
    <row r="19" spans="1:18" ht="20.100000000000001" customHeight="1" x14ac:dyDescent="0.25">
      <c r="A19" s="35" t="s">
        <v>83</v>
      </c>
      <c r="B19" s="33"/>
      <c r="C19" s="33"/>
      <c r="D19" s="27">
        <f t="shared" ref="D19:R19" si="0">IFERROR(AVERAGE(D3:D18),"")</f>
        <v>19.9375</v>
      </c>
      <c r="E19" s="27" t="str">
        <f t="shared" si="0"/>
        <v/>
      </c>
      <c r="F19" s="27" t="str">
        <f t="shared" si="0"/>
        <v/>
      </c>
      <c r="G19" s="27" t="str">
        <f t="shared" si="0"/>
        <v/>
      </c>
      <c r="H19" s="27" t="str">
        <f t="shared" si="0"/>
        <v/>
      </c>
      <c r="I19" s="27" t="str">
        <f t="shared" si="0"/>
        <v/>
      </c>
      <c r="J19" s="27" t="str">
        <f t="shared" si="0"/>
        <v/>
      </c>
      <c r="K19" s="27" t="str">
        <f t="shared" si="0"/>
        <v/>
      </c>
      <c r="L19" s="27" t="str">
        <f t="shared" si="0"/>
        <v/>
      </c>
      <c r="M19" s="27" t="str">
        <f t="shared" si="0"/>
        <v/>
      </c>
      <c r="N19" s="27" t="str">
        <f t="shared" si="0"/>
        <v/>
      </c>
      <c r="O19" s="27" t="str">
        <f t="shared" si="0"/>
        <v/>
      </c>
      <c r="P19" s="27" t="str">
        <f t="shared" si="0"/>
        <v/>
      </c>
      <c r="Q19" s="27" t="str">
        <f t="shared" si="0"/>
        <v/>
      </c>
      <c r="R19" s="27" t="str">
        <f t="shared" si="0"/>
        <v/>
      </c>
    </row>
    <row r="21" spans="1:18" x14ac:dyDescent="0.25">
      <c r="A21" s="36" t="s">
        <v>84</v>
      </c>
      <c r="B21" s="33"/>
      <c r="C21" s="33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</row>
  </sheetData>
  <mergeCells count="3">
    <mergeCell ref="A19:C19"/>
    <mergeCell ref="A21:C21"/>
    <mergeCell ref="A1:S1"/>
  </mergeCells>
  <conditionalFormatting sqref="D3:R18">
    <cfRule type="cellIs" dxfId="3" priority="1" operator="between">
      <formula>1</formula>
      <formula>1.74</formula>
    </cfRule>
    <cfRule type="cellIs" dxfId="2" priority="2" operator="between">
      <formula>1.75</formula>
      <formula>2.74</formula>
    </cfRule>
    <cfRule type="cellIs" dxfId="1" priority="3" operator="between">
      <formula>2.75</formula>
      <formula>3.49</formula>
    </cfRule>
    <cfRule type="cellIs" dxfId="0" priority="4" operator="greaterThanOrEqual">
      <formula>3.5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H16"/>
  <sheetViews>
    <sheetView zoomScale="90" workbookViewId="0">
      <selection sqref="A1:H1"/>
    </sheetView>
  </sheetViews>
  <sheetFormatPr defaultRowHeight="15" x14ac:dyDescent="0.25"/>
  <cols>
    <col min="1" max="8" width="22" customWidth="1"/>
  </cols>
  <sheetData>
    <row r="1" spans="1:8" ht="27.95" customHeight="1" x14ac:dyDescent="0.25">
      <c r="A1" s="34" t="s">
        <v>85</v>
      </c>
      <c r="B1" s="33"/>
      <c r="C1" s="33"/>
      <c r="D1" s="33"/>
      <c r="E1" s="33"/>
      <c r="F1" s="33"/>
      <c r="G1" s="33"/>
      <c r="H1" s="33"/>
    </row>
    <row r="3" spans="1:8" ht="24" customHeight="1" x14ac:dyDescent="0.25">
      <c r="A3" s="39" t="s">
        <v>86</v>
      </c>
      <c r="B3" s="33"/>
      <c r="C3" s="39" t="s">
        <v>87</v>
      </c>
      <c r="D3" s="33"/>
      <c r="E3" s="39" t="s">
        <v>88</v>
      </c>
      <c r="F3" s="33"/>
      <c r="G3" s="39" t="s">
        <v>10</v>
      </c>
      <c r="H3" s="33"/>
    </row>
    <row r="4" spans="1:8" ht="39.950000000000003" customHeight="1" x14ac:dyDescent="0.25">
      <c r="A4" s="37">
        <f>COUNTA('Leads &amp; Opvolging'!B4:B23)</f>
        <v>1</v>
      </c>
      <c r="B4" s="33"/>
      <c r="C4" s="37">
        <f>COUNTIF('Leads &amp; Opvolging'!K4:K23,"Gesprek gepland")</f>
        <v>0</v>
      </c>
      <c r="D4" s="33"/>
      <c r="E4" s="37">
        <f>COUNTIF('Leads &amp; Opvolging'!K4:K23,"Klant")</f>
        <v>0</v>
      </c>
      <c r="F4" s="33"/>
      <c r="G4" s="38">
        <f>IFERROR(AVERAGE('Leads &amp; Opvolging'!I4:I23),"-")</f>
        <v>24</v>
      </c>
      <c r="H4" s="33"/>
    </row>
    <row r="5" spans="1:8" x14ac:dyDescent="0.25">
      <c r="A5" s="33"/>
      <c r="B5" s="33"/>
      <c r="C5" s="33"/>
      <c r="D5" s="33"/>
      <c r="E5" s="33"/>
      <c r="F5" s="33"/>
      <c r="G5" s="33"/>
      <c r="H5" s="33"/>
    </row>
    <row r="8" spans="1:8" x14ac:dyDescent="0.25">
      <c r="A8" s="3" t="s">
        <v>12</v>
      </c>
      <c r="B8" s="3" t="s">
        <v>89</v>
      </c>
      <c r="D8" s="3" t="s">
        <v>6</v>
      </c>
      <c r="E8" s="3" t="s">
        <v>89</v>
      </c>
    </row>
    <row r="9" spans="1:8" x14ac:dyDescent="0.25">
      <c r="A9" s="18" t="s">
        <v>28</v>
      </c>
      <c r="B9" s="29">
        <f>COUNTIF('Leads &amp; Opvolging'!K4:K23,"Nieuw")</f>
        <v>1</v>
      </c>
      <c r="D9" s="18" t="s">
        <v>90</v>
      </c>
      <c r="E9" s="29">
        <f>COUNTIF('Leads &amp; Opvolging'!E4:E23,"Productie / Industrie")</f>
        <v>0</v>
      </c>
    </row>
    <row r="10" spans="1:8" x14ac:dyDescent="0.25">
      <c r="A10" s="18" t="s">
        <v>29</v>
      </c>
      <c r="B10" s="29">
        <f>COUNTIF('Leads &amp; Opvolging'!K4:K23,"Gecontacteerd")</f>
        <v>0</v>
      </c>
      <c r="D10" s="18" t="s">
        <v>91</v>
      </c>
      <c r="E10" s="29">
        <f>COUNTIF('Leads &amp; Opvolging'!E4:E23,"Bouw / Technische diensten")</f>
        <v>0</v>
      </c>
    </row>
    <row r="11" spans="1:8" x14ac:dyDescent="0.25">
      <c r="A11" s="18" t="s">
        <v>16</v>
      </c>
      <c r="B11" s="29">
        <f>COUNTIF('Leads &amp; Opvolging'!K4:K23,"Gesprek gepland")</f>
        <v>0</v>
      </c>
      <c r="D11" s="18" t="s">
        <v>92</v>
      </c>
      <c r="E11" s="29">
        <f>COUNTIF('Leads &amp; Opvolging'!E4:E23,"Groothandel / Distributie")</f>
        <v>0</v>
      </c>
    </row>
    <row r="12" spans="1:8" x14ac:dyDescent="0.25">
      <c r="A12" s="18" t="s">
        <v>30</v>
      </c>
      <c r="B12" s="29">
        <f>COUNTIF('Leads &amp; Opvolging'!K4:K23,"Offerte verstuurd")</f>
        <v>0</v>
      </c>
      <c r="D12" s="18" t="s">
        <v>93</v>
      </c>
      <c r="E12" s="29">
        <f>COUNTIF('Leads &amp; Opvolging'!E4:E23,"Retail / Detailhandel")</f>
        <v>0</v>
      </c>
    </row>
    <row r="13" spans="1:8" x14ac:dyDescent="0.25">
      <c r="A13" s="18" t="s">
        <v>31</v>
      </c>
      <c r="B13" s="29">
        <f>COUNTIF('Leads &amp; Opvolging'!K4:K23,"Klant")</f>
        <v>0</v>
      </c>
      <c r="D13" s="18" t="s">
        <v>94</v>
      </c>
      <c r="E13" s="29">
        <f>COUNTIF('Leads &amp; Opvolging'!E4:E23,"Consultancy / Advies")</f>
        <v>0</v>
      </c>
    </row>
    <row r="14" spans="1:8" x14ac:dyDescent="0.25">
      <c r="A14" s="18" t="s">
        <v>32</v>
      </c>
      <c r="B14" s="29">
        <f>COUNTIF('Leads &amp; Opvolging'!K4:K23,"Niet geïnteresseerd")</f>
        <v>0</v>
      </c>
      <c r="D14" s="18" t="s">
        <v>95</v>
      </c>
      <c r="E14" s="29">
        <f>COUNTIF('Leads &amp; Opvolging'!E4:E23,"IT / Software")</f>
        <v>0</v>
      </c>
    </row>
    <row r="15" spans="1:8" x14ac:dyDescent="0.25">
      <c r="D15" s="18" t="s">
        <v>96</v>
      </c>
      <c r="E15" s="29">
        <f>COUNTIF('Leads &amp; Opvolging'!E4:E23,"Transport / Logistiek")</f>
        <v>0</v>
      </c>
    </row>
    <row r="16" spans="1:8" x14ac:dyDescent="0.25">
      <c r="D16" s="18" t="s">
        <v>97</v>
      </c>
      <c r="E16" s="29">
        <f>COUNTIF('Leads &amp; Opvolging'!E4:E23,"Andere")</f>
        <v>0</v>
      </c>
    </row>
  </sheetData>
  <mergeCells count="9">
    <mergeCell ref="C4:D5"/>
    <mergeCell ref="A4:B5"/>
    <mergeCell ref="G4:H5"/>
    <mergeCell ref="E4:F5"/>
    <mergeCell ref="A1:H1"/>
    <mergeCell ref="C3:D3"/>
    <mergeCell ref="A3:B3"/>
    <mergeCell ref="G3:H3"/>
    <mergeCell ref="E3:F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B35"/>
  <sheetViews>
    <sheetView zoomScale="70" zoomScaleNormal="70" workbookViewId="0">
      <selection activeCell="A5" sqref="A5"/>
    </sheetView>
  </sheetViews>
  <sheetFormatPr defaultRowHeight="15" x14ac:dyDescent="0.25"/>
  <cols>
    <col min="1" max="1" width="100" customWidth="1"/>
    <col min="2" max="2" width="40" customWidth="1"/>
  </cols>
  <sheetData>
    <row r="1" spans="1:2" ht="27.95" customHeight="1" x14ac:dyDescent="0.25">
      <c r="A1" s="31" t="s">
        <v>98</v>
      </c>
    </row>
    <row r="2" spans="1:2" ht="20.100000000000001" customHeight="1" x14ac:dyDescent="0.25">
      <c r="A2" s="1" t="s">
        <v>99</v>
      </c>
    </row>
    <row r="3" spans="1:2" ht="15.95" customHeight="1" x14ac:dyDescent="0.25"/>
    <row r="4" spans="1:2" x14ac:dyDescent="0.25">
      <c r="A4" s="41"/>
    </row>
    <row r="5" spans="1:2" ht="20.25" customHeight="1" x14ac:dyDescent="0.25">
      <c r="A5" s="40"/>
    </row>
    <row r="6" spans="1:2" ht="21.95" customHeight="1" x14ac:dyDescent="0.25">
      <c r="A6" s="40"/>
    </row>
    <row r="7" spans="1:2" ht="15.95" customHeight="1" x14ac:dyDescent="0.25">
      <c r="A7" s="40"/>
      <c r="B7" s="30"/>
    </row>
    <row r="8" spans="1:2" ht="15.95" customHeight="1" x14ac:dyDescent="0.25">
      <c r="A8" s="40"/>
      <c r="B8" s="30"/>
    </row>
    <row r="9" spans="1:2" ht="15.95" customHeight="1" x14ac:dyDescent="0.25">
      <c r="B9" s="30"/>
    </row>
    <row r="10" spans="1:2" ht="15.95" customHeight="1" x14ac:dyDescent="0.25">
      <c r="A10" s="40"/>
      <c r="B10" s="30"/>
    </row>
    <row r="11" spans="1:2" ht="15.95" customHeight="1" x14ac:dyDescent="0.25">
      <c r="B11" s="30"/>
    </row>
    <row r="12" spans="1:2" ht="15.95" customHeight="1" x14ac:dyDescent="0.25">
      <c r="A12" s="40"/>
      <c r="B12" s="30"/>
    </row>
    <row r="13" spans="1:2" ht="15.95" customHeight="1" x14ac:dyDescent="0.25">
      <c r="A13" s="40"/>
      <c r="B13" s="30"/>
    </row>
    <row r="14" spans="1:2" ht="15.95" customHeight="1" x14ac:dyDescent="0.25">
      <c r="A14" s="40"/>
      <c r="B14" s="30"/>
    </row>
    <row r="15" spans="1:2" ht="15" customHeight="1" x14ac:dyDescent="0.25">
      <c r="A15" s="40"/>
    </row>
    <row r="16" spans="1:2" ht="15" customHeight="1" x14ac:dyDescent="0.25">
      <c r="A16" s="40"/>
    </row>
    <row r="17" spans="1:1" ht="15" customHeight="1" x14ac:dyDescent="0.25">
      <c r="A17" s="40"/>
    </row>
    <row r="18" spans="1:1" ht="15" customHeight="1" x14ac:dyDescent="0.25">
      <c r="A18" s="40"/>
    </row>
    <row r="19" spans="1:1" ht="15" customHeight="1" x14ac:dyDescent="0.25">
      <c r="A19" s="40"/>
    </row>
    <row r="20" spans="1:1" ht="15" customHeight="1" x14ac:dyDescent="0.25">
      <c r="A20" s="40"/>
    </row>
    <row r="21" spans="1:1" ht="15" customHeight="1" x14ac:dyDescent="0.25">
      <c r="A21" s="40"/>
    </row>
    <row r="22" spans="1:1" ht="15" customHeight="1" x14ac:dyDescent="0.25">
      <c r="A22" s="40"/>
    </row>
    <row r="23" spans="1:1" ht="15" customHeight="1" x14ac:dyDescent="0.25">
      <c r="A23" s="40"/>
    </row>
    <row r="24" spans="1:1" ht="15" customHeight="1" x14ac:dyDescent="0.25">
      <c r="A24" s="40"/>
    </row>
    <row r="25" spans="1:1" ht="15" customHeight="1" x14ac:dyDescent="0.25">
      <c r="A25" s="40"/>
    </row>
    <row r="26" spans="1:1" x14ac:dyDescent="0.25">
      <c r="A26" s="40"/>
    </row>
    <row r="27" spans="1:1" x14ac:dyDescent="0.25">
      <c r="A27" s="40"/>
    </row>
    <row r="28" spans="1:1" ht="15.95" customHeight="1" x14ac:dyDescent="0.25">
      <c r="A28" s="40"/>
    </row>
    <row r="29" spans="1:1" ht="15.95" customHeight="1" x14ac:dyDescent="0.25">
      <c r="A29" s="40"/>
    </row>
    <row r="30" spans="1:1" ht="15.95" customHeight="1" x14ac:dyDescent="0.25"/>
    <row r="31" spans="1:1" ht="15.95" customHeight="1" x14ac:dyDescent="0.25"/>
    <row r="32" spans="1:1" ht="15.95" customHeight="1" x14ac:dyDescent="0.25"/>
    <row r="33" ht="15.95" customHeight="1" x14ac:dyDescent="0.25"/>
    <row r="34" ht="15.95" customHeight="1" x14ac:dyDescent="0.25"/>
    <row r="35" ht="15.95" customHeight="1" x14ac:dyDescent="0.25"/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Leads &amp; Opvolging</vt:lpstr>
      <vt:lpstr>Scores Detail</vt:lpstr>
      <vt:lpstr>Dashboard</vt:lpstr>
      <vt:lpstr>Mail Inlezen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Dirk Vander Eyken</cp:lastModifiedBy>
  <dcterms:created xsi:type="dcterms:W3CDTF">2026-06-10T09:05:04Z</dcterms:created>
  <dcterms:modified xsi:type="dcterms:W3CDTF">2026-06-10T10:00:52Z</dcterms:modified>
</cp:coreProperties>
</file>